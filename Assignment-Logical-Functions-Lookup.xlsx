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775"/>
  </bookViews>
  <sheets>
    <sheet name="assignment3" sheetId="6" r:id="rId1"/>
  </sheets>
  <calcPr calcId="144525"/>
</workbook>
</file>

<file path=xl/calcChain.xml><?xml version="1.0" encoding="utf-8"?>
<calcChain xmlns="http://schemas.openxmlformats.org/spreadsheetml/2006/main">
  <c r="D91" i="6" l="1"/>
  <c r="E78" i="6"/>
  <c r="E77" i="6"/>
  <c r="E76" i="6"/>
  <c r="H66" i="6"/>
  <c r="C48" i="6"/>
  <c r="D34" i="6"/>
  <c r="D33" i="6"/>
  <c r="D32" i="6"/>
  <c r="D31" i="6"/>
  <c r="D30" i="6"/>
  <c r="E21" i="6"/>
  <c r="E20" i="6"/>
  <c r="E19" i="6"/>
  <c r="E18" i="6"/>
  <c r="D9" i="6"/>
  <c r="D8" i="6"/>
  <c r="D7" i="6"/>
  <c r="D6" i="6"/>
  <c r="D5" i="6"/>
</calcChain>
</file>

<file path=xl/sharedStrings.xml><?xml version="1.0" encoding="utf-8"?>
<sst xmlns="http://schemas.openxmlformats.org/spreadsheetml/2006/main" count="105" uniqueCount="80">
  <si>
    <t>Q2</t>
  </si>
  <si>
    <t>Q3</t>
  </si>
  <si>
    <t>Sales</t>
  </si>
  <si>
    <t>Q4</t>
  </si>
  <si>
    <t>Q5</t>
  </si>
  <si>
    <t>Q6</t>
  </si>
  <si>
    <t>Q7</t>
  </si>
  <si>
    <t>Q8</t>
  </si>
  <si>
    <t>Ans</t>
  </si>
  <si>
    <t>Employee</t>
  </si>
  <si>
    <t>Department</t>
  </si>
  <si>
    <t>Salary</t>
  </si>
  <si>
    <t>IT</t>
  </si>
  <si>
    <t>HR</t>
  </si>
  <si>
    <t>Rahul</t>
  </si>
  <si>
    <t>Q1</t>
  </si>
  <si>
    <t>Student Name</t>
  </si>
  <si>
    <t>Marks</t>
  </si>
  <si>
    <t>Riya</t>
  </si>
  <si>
    <t>Siya</t>
  </si>
  <si>
    <t>Raju</t>
  </si>
  <si>
    <t>Ram</t>
  </si>
  <si>
    <t>Result</t>
  </si>
  <si>
    <t>Attendance</t>
  </si>
  <si>
    <t>Simran</t>
  </si>
  <si>
    <t>Rohit</t>
  </si>
  <si>
    <t>Anjali</t>
  </si>
  <si>
    <t>Arjun</t>
  </si>
  <si>
    <t>Eligible for Bonus</t>
  </si>
  <si>
    <t>Raj</t>
  </si>
  <si>
    <t>Neha</t>
  </si>
  <si>
    <t>Vivek</t>
  </si>
  <si>
    <t>Rani</t>
  </si>
  <si>
    <t>Sneha</t>
  </si>
  <si>
    <t>EmpID</t>
  </si>
  <si>
    <t>Name</t>
  </si>
  <si>
    <t>E101</t>
  </si>
  <si>
    <t>E102</t>
  </si>
  <si>
    <t>E103</t>
  </si>
  <si>
    <t>E104</t>
  </si>
  <si>
    <t>Roshni</t>
  </si>
  <si>
    <t>Sejal</t>
  </si>
  <si>
    <t>Finance</t>
  </si>
  <si>
    <r>
      <t xml:space="preserve">A company has set the following </t>
    </r>
    <r>
      <rPr>
        <b/>
        <i/>
        <sz val="11"/>
        <color theme="1"/>
        <rFont val="Calibri"/>
        <family val="2"/>
        <scheme val="minor"/>
      </rPr>
      <t>commission structure</t>
    </r>
    <r>
      <rPr>
        <b/>
        <sz val="11"/>
        <color theme="1"/>
        <rFont val="Calibri"/>
        <family val="2"/>
        <scheme val="minor"/>
      </rPr>
      <t xml:space="preserve"> for its sales team:</t>
    </r>
  </si>
  <si>
    <t>Sales Amount</t>
  </si>
  <si>
    <t>Commission Rate</t>
  </si>
  <si>
    <t>If a salesperson achieves sales of ₹45,000, the commission rate will be</t>
  </si>
  <si>
    <t>Write an IF function to check whether an employee has Exceeded their allowed leave balance</t>
  </si>
  <si>
    <t>Employee Name</t>
  </si>
  <si>
    <t>Leaves Taken</t>
  </si>
  <si>
    <t>Leaves Allowed</t>
  </si>
  <si>
    <t>Alex</t>
  </si>
  <si>
    <t>Bob</t>
  </si>
  <si>
    <t>Anna</t>
  </si>
  <si>
    <t>1. If Leaves Taken &gt; Allowed Leaves, display "Exceeded".</t>
  </si>
  <si>
    <t>2. Otherwise, display "OK".</t>
  </si>
  <si>
    <t>Balance</t>
  </si>
  <si>
    <t>Find the salary of EmpID = E105 using INDEX-MATCH Function.</t>
  </si>
  <si>
    <t>E105</t>
  </si>
  <si>
    <t>E106</t>
  </si>
  <si>
    <t>Use the XLOOKUP function to find the Department of the employee with Emp ID = E303.</t>
  </si>
  <si>
    <t>E303</t>
  </si>
  <si>
    <t>E301</t>
  </si>
  <si>
    <t>Salary of EmpID = E105</t>
  </si>
  <si>
    <t>Department of Emp ID = E303</t>
  </si>
  <si>
    <t>Write a formula to check if the marks in cell are greater than or equal to 40. If yes, return 
"Pass" , otherwise "Fail".</t>
  </si>
  <si>
    <t>A company gives a bonus  if sales are above 40,000 and attendance is greater than or equal
to 90%. Write a formula to calculate whether the employee will get a bonus or not.</t>
  </si>
  <si>
    <t>Write a nested IF formula: If marks in B2 are ≥ 90 → "A", ≥ 75 → "B", ≥ 50 → "C", otherwise
"Fail".</t>
  </si>
  <si>
    <t>Find the Department of Employee ID = E103. Also explain which LOOKUP function is used
and why?</t>
  </si>
  <si>
    <r>
      <t xml:space="preserve">Here I have used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 xml:space="preserve"> because the data structure is simple, the lookup value is in
the first column and we want to fetch data from a column to the right  of the table.</t>
    </r>
  </si>
  <si>
    <r>
      <t xml:space="preserve">If a salesperson achieves </t>
    </r>
    <r>
      <rPr>
        <b/>
        <sz val="11"/>
        <color theme="1"/>
        <rFont val="Calibri"/>
        <family val="2"/>
        <scheme val="minor"/>
      </rPr>
      <t>sales of ₹45,000</t>
    </r>
    <r>
      <rPr>
        <sz val="11"/>
        <color theme="1"/>
        <rFont val="Calibri"/>
        <family val="2"/>
        <scheme val="minor"/>
      </rPr>
      <t xml:space="preserve">, use the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function</t>
    </r>
    <r>
      <rPr>
        <sz val="11"/>
        <color theme="1"/>
        <rFont val="Calibri"/>
        <family val="2"/>
        <scheme val="minor"/>
      </rPr>
      <t xml:space="preserve"> to determine the
</t>
    </r>
    <r>
      <rPr>
        <b/>
        <sz val="11"/>
        <color theme="1"/>
        <rFont val="Calibri"/>
        <family val="2"/>
        <scheme val="minor"/>
      </rPr>
      <t>commission rate</t>
    </r>
    <r>
      <rPr>
        <sz val="11"/>
        <color theme="1"/>
        <rFont val="Calibri"/>
        <family val="2"/>
        <scheme val="minor"/>
      </rPr>
      <t xml:space="preserve"> applicable.</t>
    </r>
  </si>
  <si>
    <t>Formula:-=INDEX(C86:C89,MATCH(B87,B86:B89,0))</t>
  </si>
  <si>
    <t>Formula:-=IF($C76&gt;$D76,"Exceeded","OK")</t>
  </si>
  <si>
    <t>Formula:- =VLOOKUP("E103",B43:D46,3,FALSE)</t>
  </si>
  <si>
    <t>Formula: =IF($C5&gt;=40,"Pass","Fail")</t>
  </si>
  <si>
    <t>Formula:- =IF(AND($C18&gt;40000,$D18&gt;=90),"Elligible for Bonus", "Not Elligible for Bonus")</t>
  </si>
  <si>
    <t>Formula:- =IF($C30&gt;=90,"A",IF($C30&gt;=75,"B",IF($C30&gt;=50,"C","Fail")))</t>
  </si>
  <si>
    <t>Formula:- =VLOOKUP(45000,B57:C60,2,TRUE)</t>
  </si>
  <si>
    <t>Formula:-=XLOOKUP("E303", B98:B101, C98:C101)</t>
  </si>
  <si>
    <t>The HR department maintains the following leave records of employees bonus or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</si>
</sst>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Fill="1" applyBorder="1"/>
    <xf numFmtId="0" fontId="14" fillId="33" borderId="11" xfId="0" applyFont="1" applyFill="1" applyBorder="1"/>
    <xf numFmtId="0" fontId="0" fillId="33" borderId="0" xfId="0" applyFill="1"/>
    <xf numFmtId="0" fontId="0" fillId="33" borderId="10" xfId="0" applyFill="1" applyBorder="1"/>
    <xf numFmtId="0" fontId="14" fillId="33" borderId="10" xfId="0" applyFont="1" applyFill="1" applyBorder="1"/>
    <xf numFmtId="0" fontId="0" fillId="33" borderId="11" xfId="0" applyFill="1" applyBorder="1"/>
    <xf numFmtId="0" fontId="14" fillId="34" borderId="11" xfId="0" applyFont="1" applyFill="1" applyBorder="1"/>
    <xf numFmtId="0" fontId="0" fillId="34" borderId="11" xfId="0" applyFill="1" applyBorder="1"/>
    <xf numFmtId="0" fontId="14" fillId="33" borderId="0" xfId="0" applyFont="1" applyFill="1" applyBorder="1"/>
    <xf numFmtId="0" fontId="14" fillId="34" borderId="11" xfId="0" applyFont="1" applyFill="1" applyBorder="1" applyAlignment="1"/>
    <xf numFmtId="0" fontId="0" fillId="33" borderId="11" xfId="0" applyFill="1" applyBorder="1"/>
    <xf numFmtId="0" fontId="14" fillId="34" borderId="11" xfId="0" applyFont="1" applyFill="1" applyBorder="1"/>
    <xf numFmtId="0" fontId="14" fillId="33" borderId="0" xfId="0" applyFont="1" applyFill="1" applyBorder="1" applyAlignment="1"/>
    <xf numFmtId="0" fontId="14" fillId="33" borderId="0" xfId="0" applyFont="1" applyFill="1"/>
    <xf numFmtId="9" fontId="0" fillId="33" borderId="11" xfId="0" applyNumberFormat="1" applyFill="1" applyBorder="1"/>
    <xf numFmtId="0" fontId="14" fillId="33" borderId="10" xfId="0" applyFont="1" applyFill="1" applyBorder="1" applyAlignment="1"/>
    <xf numFmtId="0" fontId="14" fillId="34" borderId="0" xfId="0" applyFont="1" applyFill="1"/>
    <xf numFmtId="0" fontId="0" fillId="33" borderId="12" xfId="0" applyFill="1" applyBorder="1"/>
    <xf numFmtId="9" fontId="14" fillId="34" borderId="11" xfId="1" applyFont="1" applyFill="1" applyBorder="1"/>
    <xf numFmtId="0" fontId="0" fillId="33" borderId="0" xfId="0" applyFill="1" applyBorder="1" applyAlignment="1">
      <alignment wrapText="1"/>
    </xf>
    <xf numFmtId="0" fontId="0" fillId="34" borderId="11" xfId="0" applyFill="1" applyBorder="1"/>
    <xf numFmtId="0" fontId="14" fillId="33" borderId="0" xfId="0" applyFont="1" applyFill="1" applyAlignment="1">
      <alignment wrapText="1"/>
    </xf>
    <xf numFmtId="0" fontId="14" fillId="33" borderId="0" xfId="0" applyFont="1" applyFill="1"/>
    <xf numFmtId="0" fontId="0" fillId="34" borderId="11" xfId="0" applyFill="1" applyBorder="1" applyAlignment="1">
      <alignment wrapText="1"/>
    </xf>
    <xf numFmtId="0" fontId="14" fillId="34" borderId="11" xfId="0" applyFont="1" applyFill="1" applyBorder="1" applyAlignment="1">
      <alignment horizontal="left"/>
    </xf>
    <xf numFmtId="0" fontId="14" fillId="34" borderId="11" xfId="0" applyFont="1" applyFill="1" applyBorder="1" applyAlignment="1"/>
    <xf numFmtId="0" fontId="14" fillId="34" borderId="11" xfId="0" applyFont="1" applyFill="1" applyBorder="1"/>
    <xf numFmtId="0" fontId="0" fillId="33" borderId="0" xfId="0" applyFill="1" applyAlignment="1">
      <alignment wrapText="1"/>
    </xf>
    <xf numFmtId="0" fontId="0" fillId="33" borderId="0" xfId="0" applyFill="1"/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/>
    <cellStyle name="60% - Accent2 2" xfId="38"/>
    <cellStyle name="60% - Accent3 2" xfId="39"/>
    <cellStyle name="60% - Accent4 2" xfId="40"/>
    <cellStyle name="60% - Accent5 2" xfId="41"/>
    <cellStyle name="60% - Accent6 2" xfId="42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/>
    <cellStyle name="Normal" xfId="0" builtinId="0"/>
    <cellStyle name="Note" xfId="14" builtinId="10" customBuiltin="1"/>
    <cellStyle name="Output" xfId="9" builtinId="21" customBuiltin="1"/>
    <cellStyle name="Percent" xfId="1" builtinId="5"/>
    <cellStyle name="Title 2" xfId="35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"/>
  <sheetViews>
    <sheetView tabSelected="1" topLeftCell="A97" workbookViewId="0">
      <selection activeCell="B95" sqref="B95:I95"/>
    </sheetView>
  </sheetViews>
  <sheetFormatPr defaultRowHeight="15" x14ac:dyDescent="0.25"/>
  <cols>
    <col min="1" max="1" width="9.140625" style="3" customWidth="1"/>
    <col min="2" max="2" width="13.85546875" style="3" bestFit="1" customWidth="1"/>
    <col min="3" max="3" width="9.140625" style="3"/>
    <col min="4" max="4" width="11.28515625" style="3" bestFit="1" customWidth="1"/>
    <col min="5" max="8" width="9.140625" style="3"/>
    <col min="9" max="9" width="9.140625" style="3" customWidth="1"/>
    <col min="10" max="16384" width="9.140625" style="3"/>
  </cols>
  <sheetData>
    <row r="1" spans="1:18" x14ac:dyDescent="0.25">
      <c r="A1" s="14" t="s">
        <v>15</v>
      </c>
      <c r="B1" s="22" t="s">
        <v>65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8" x14ac:dyDescent="0.25">
      <c r="A2" s="14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8" x14ac:dyDescent="0.25">
      <c r="A4" s="14" t="s">
        <v>8</v>
      </c>
      <c r="B4" s="2" t="s">
        <v>16</v>
      </c>
      <c r="C4" s="2" t="s">
        <v>17</v>
      </c>
      <c r="D4" s="7" t="s">
        <v>22</v>
      </c>
    </row>
    <row r="5" spans="1:18" x14ac:dyDescent="0.25">
      <c r="B5" s="6" t="s">
        <v>18</v>
      </c>
      <c r="C5" s="6">
        <v>45</v>
      </c>
      <c r="D5" s="8" t="str">
        <f>IF($C5&gt;=40,"Pass","Fail")</f>
        <v>Pass</v>
      </c>
    </row>
    <row r="6" spans="1:18" x14ac:dyDescent="0.25">
      <c r="B6" s="6" t="s">
        <v>19</v>
      </c>
      <c r="C6" s="6">
        <v>72</v>
      </c>
      <c r="D6" s="8" t="str">
        <f>IF($C6&gt;=40,"Pass","Fail")</f>
        <v>Pass</v>
      </c>
    </row>
    <row r="7" spans="1:18" x14ac:dyDescent="0.25">
      <c r="B7" s="6" t="s">
        <v>20</v>
      </c>
      <c r="C7" s="6">
        <v>55</v>
      </c>
      <c r="D7" s="8" t="str">
        <f>IF($C7&gt;=40,"Pass","Fail")</f>
        <v>Pass</v>
      </c>
    </row>
    <row r="8" spans="1:18" x14ac:dyDescent="0.25">
      <c r="B8" s="6" t="s">
        <v>14</v>
      </c>
      <c r="C8" s="6">
        <v>80</v>
      </c>
      <c r="D8" s="8" t="str">
        <f>IF($C8&gt;=40,"Pass","Fail")</f>
        <v>Pass</v>
      </c>
    </row>
    <row r="9" spans="1:18" x14ac:dyDescent="0.25">
      <c r="B9" s="6" t="s">
        <v>21</v>
      </c>
      <c r="C9" s="6">
        <v>30</v>
      </c>
      <c r="D9" s="8" t="str">
        <f>IF($C9&gt;=40,"Pass","Fail")</f>
        <v>Fail</v>
      </c>
    </row>
    <row r="11" spans="1:18" x14ac:dyDescent="0.25">
      <c r="B11" s="27" t="s">
        <v>74</v>
      </c>
      <c r="C11" s="27"/>
      <c r="D11" s="27"/>
    </row>
    <row r="12" spans="1:18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18" x14ac:dyDescent="0.25">
      <c r="A14" s="14" t="s">
        <v>0</v>
      </c>
      <c r="B14" s="22" t="s">
        <v>66</v>
      </c>
      <c r="C14" s="23"/>
      <c r="D14" s="23"/>
      <c r="E14" s="23"/>
      <c r="F14" s="23"/>
      <c r="G14" s="23"/>
      <c r="H14" s="23"/>
      <c r="I14" s="23"/>
      <c r="J14" s="14"/>
      <c r="K14" s="14"/>
      <c r="L14" s="14"/>
      <c r="M14" s="14"/>
      <c r="N14" s="14"/>
      <c r="O14" s="14"/>
      <c r="P14" s="14"/>
      <c r="Q14" s="14"/>
      <c r="R14" s="14"/>
    </row>
    <row r="15" spans="1:18" x14ac:dyDescent="0.25">
      <c r="A15" s="14"/>
      <c r="B15" s="23"/>
      <c r="C15" s="23"/>
      <c r="D15" s="23"/>
      <c r="E15" s="23"/>
      <c r="F15" s="23"/>
      <c r="G15" s="23"/>
      <c r="H15" s="23"/>
      <c r="I15" s="23"/>
      <c r="J15" s="14"/>
      <c r="K15" s="14"/>
      <c r="L15" s="14"/>
      <c r="M15" s="14"/>
      <c r="N15" s="14"/>
      <c r="O15" s="14"/>
      <c r="P15" s="14"/>
      <c r="Q15" s="14"/>
      <c r="R15" s="14"/>
    </row>
    <row r="17" spans="1:10" x14ac:dyDescent="0.25">
      <c r="A17" s="14" t="s">
        <v>8</v>
      </c>
      <c r="B17" s="2" t="s">
        <v>9</v>
      </c>
      <c r="C17" s="2" t="s">
        <v>2</v>
      </c>
      <c r="D17" s="2" t="s">
        <v>23</v>
      </c>
      <c r="E17" s="27" t="s">
        <v>28</v>
      </c>
      <c r="F17" s="27"/>
      <c r="G17" s="27"/>
    </row>
    <row r="18" spans="1:10" x14ac:dyDescent="0.25">
      <c r="B18" s="6" t="s">
        <v>27</v>
      </c>
      <c r="C18" s="6">
        <v>55000</v>
      </c>
      <c r="D18" s="6">
        <v>95</v>
      </c>
      <c r="E18" s="21" t="str">
        <f>IF(AND($C18&gt;40000, $D18 &gt;= 90), "Elligible for Bonus", "Not Elligible for Bonus")</f>
        <v>Elligible for Bonus</v>
      </c>
      <c r="F18" s="21"/>
      <c r="G18" s="21"/>
    </row>
    <row r="19" spans="1:10" x14ac:dyDescent="0.25">
      <c r="B19" s="6" t="s">
        <v>24</v>
      </c>
      <c r="C19" s="6">
        <v>65000</v>
      </c>
      <c r="D19" s="6">
        <v>85</v>
      </c>
      <c r="E19" s="21" t="str">
        <f>IF(AND($C19&gt;40000, $D19 &gt;= 90), "Elligible for Bonus", "Not Elligible for Bonus")</f>
        <v>Not Elligible for Bonus</v>
      </c>
      <c r="F19" s="21"/>
      <c r="G19" s="21"/>
    </row>
    <row r="20" spans="1:10" x14ac:dyDescent="0.25">
      <c r="B20" s="6" t="s">
        <v>25</v>
      </c>
      <c r="C20" s="6">
        <v>30000</v>
      </c>
      <c r="D20" s="6">
        <v>90</v>
      </c>
      <c r="E20" s="21" t="str">
        <f>IF(AND($C20&gt;40000, $D20 &gt;= 90), "Elligible for Bonus", "Not Elligible for Bonus")</f>
        <v>Not Elligible for Bonus</v>
      </c>
      <c r="F20" s="21"/>
      <c r="G20" s="21"/>
    </row>
    <row r="21" spans="1:10" x14ac:dyDescent="0.25">
      <c r="B21" s="6" t="s">
        <v>26</v>
      </c>
      <c r="C21" s="6">
        <v>25000</v>
      </c>
      <c r="D21" s="6">
        <v>65</v>
      </c>
      <c r="E21" s="21" t="str">
        <f>IF(AND($C21&gt;40000, $D21 &gt;= 90), "Elligible for Bonus", "Not Elligible for Bonus")</f>
        <v>Not Elligible for Bonus</v>
      </c>
      <c r="F21" s="21"/>
      <c r="G21" s="21"/>
    </row>
    <row r="23" spans="1:10" x14ac:dyDescent="0.25">
      <c r="B23" s="27" t="s">
        <v>75</v>
      </c>
      <c r="C23" s="27"/>
      <c r="D23" s="27"/>
      <c r="E23" s="27"/>
      <c r="F23" s="27"/>
      <c r="G23" s="27"/>
      <c r="H23" s="27"/>
      <c r="I23" s="27"/>
    </row>
    <row r="24" spans="1:10" x14ac:dyDescent="0.25">
      <c r="A24" s="4"/>
      <c r="B24" s="4"/>
      <c r="C24" s="4"/>
      <c r="D24" s="4"/>
      <c r="E24" s="4"/>
      <c r="F24" s="4"/>
      <c r="G24" s="4"/>
      <c r="H24" s="4"/>
      <c r="I24" s="4"/>
    </row>
    <row r="26" spans="1:10" x14ac:dyDescent="0.25">
      <c r="A26" s="14" t="s">
        <v>1</v>
      </c>
      <c r="B26" s="22" t="s">
        <v>67</v>
      </c>
      <c r="C26" s="23"/>
      <c r="D26" s="23"/>
      <c r="E26" s="23"/>
      <c r="F26" s="23"/>
      <c r="G26" s="23"/>
      <c r="H26" s="23"/>
      <c r="I26" s="23"/>
      <c r="J26" s="23"/>
    </row>
    <row r="27" spans="1:10" x14ac:dyDescent="0.25">
      <c r="A27" s="14"/>
      <c r="B27" s="23"/>
      <c r="C27" s="23"/>
      <c r="D27" s="23"/>
      <c r="E27" s="23"/>
      <c r="F27" s="23"/>
      <c r="G27" s="23"/>
      <c r="H27" s="23"/>
      <c r="I27" s="23"/>
      <c r="J27" s="23"/>
    </row>
    <row r="29" spans="1:10" x14ac:dyDescent="0.25">
      <c r="A29" s="14" t="s">
        <v>8</v>
      </c>
      <c r="B29" s="2" t="s">
        <v>16</v>
      </c>
      <c r="C29" s="2" t="s">
        <v>17</v>
      </c>
      <c r="D29" s="7" t="s">
        <v>22</v>
      </c>
    </row>
    <row r="30" spans="1:10" x14ac:dyDescent="0.25">
      <c r="B30" s="6" t="s">
        <v>29</v>
      </c>
      <c r="C30" s="6">
        <v>85</v>
      </c>
      <c r="D30" s="8" t="str">
        <f>IF($C30&gt;=90,"A",IF($C30&gt;=75,"B",IF($C30&gt;=50,"C","Fail")))</f>
        <v>B</v>
      </c>
    </row>
    <row r="31" spans="1:10" x14ac:dyDescent="0.25">
      <c r="B31" s="6" t="s">
        <v>30</v>
      </c>
      <c r="C31" s="6">
        <v>96</v>
      </c>
      <c r="D31" s="8" t="str">
        <f>IF($C31&gt;=90,"A",IF($C31&gt;=75,"B",IF($C31&gt;=50,"C","Fail")))</f>
        <v>A</v>
      </c>
    </row>
    <row r="32" spans="1:10" x14ac:dyDescent="0.25">
      <c r="B32" s="6" t="s">
        <v>31</v>
      </c>
      <c r="C32" s="6">
        <v>57</v>
      </c>
      <c r="D32" s="8" t="str">
        <f>IF($C32&gt;=90,"A",IF($C32&gt;=75,"B",IF($C32&gt;=50,"C","Fail")))</f>
        <v>C</v>
      </c>
    </row>
    <row r="33" spans="1:10" x14ac:dyDescent="0.25">
      <c r="B33" s="6" t="s">
        <v>32</v>
      </c>
      <c r="C33" s="6">
        <v>92</v>
      </c>
      <c r="D33" s="8" t="str">
        <f>IF($C33&gt;=90,"A",IF($C33&gt;=75,"B",IF($C33&gt;=50,"C","Fail")))</f>
        <v>A</v>
      </c>
    </row>
    <row r="34" spans="1:10" x14ac:dyDescent="0.25">
      <c r="B34" s="6" t="s">
        <v>33</v>
      </c>
      <c r="C34" s="6">
        <v>75</v>
      </c>
      <c r="D34" s="8" t="str">
        <f>IF($C34&gt;=90,"A",IF($C34&gt;=75,"B",IF($C34&gt;=50,"C","Fail")))</f>
        <v>B</v>
      </c>
    </row>
    <row r="36" spans="1:10" x14ac:dyDescent="0.25">
      <c r="B36" s="10" t="s">
        <v>76</v>
      </c>
      <c r="C36" s="10"/>
      <c r="D36" s="10"/>
      <c r="E36" s="10"/>
      <c r="F36" s="10"/>
      <c r="G36" s="10"/>
      <c r="H36" s="9"/>
      <c r="I36" s="9"/>
    </row>
    <row r="37" spans="1:10" x14ac:dyDescent="0.25">
      <c r="A37" s="4"/>
      <c r="B37" s="16"/>
      <c r="C37" s="16"/>
      <c r="D37" s="16"/>
      <c r="E37" s="16"/>
      <c r="F37" s="16"/>
      <c r="G37" s="16"/>
      <c r="H37" s="5"/>
      <c r="I37" s="5"/>
    </row>
    <row r="39" spans="1:10" x14ac:dyDescent="0.25">
      <c r="A39" s="14" t="s">
        <v>3</v>
      </c>
      <c r="B39" s="22" t="s">
        <v>68</v>
      </c>
      <c r="C39" s="23"/>
      <c r="D39" s="23"/>
      <c r="E39" s="23"/>
      <c r="F39" s="23"/>
      <c r="G39" s="23"/>
      <c r="H39" s="23"/>
      <c r="I39" s="23"/>
      <c r="J39" s="23"/>
    </row>
    <row r="40" spans="1:10" x14ac:dyDescent="0.25">
      <c r="A40" s="14"/>
      <c r="B40" s="23"/>
      <c r="C40" s="23"/>
      <c r="D40" s="23"/>
      <c r="E40" s="23"/>
      <c r="F40" s="23"/>
      <c r="G40" s="23"/>
      <c r="H40" s="23"/>
      <c r="I40" s="23"/>
      <c r="J40" s="23"/>
    </row>
    <row r="42" spans="1:10" x14ac:dyDescent="0.25">
      <c r="B42" s="2" t="s">
        <v>34</v>
      </c>
      <c r="C42" s="2" t="s">
        <v>35</v>
      </c>
      <c r="D42" s="2" t="s">
        <v>10</v>
      </c>
    </row>
    <row r="43" spans="1:10" x14ac:dyDescent="0.25">
      <c r="B43" s="6" t="s">
        <v>36</v>
      </c>
      <c r="C43" s="6" t="s">
        <v>20</v>
      </c>
      <c r="D43" s="6" t="s">
        <v>12</v>
      </c>
    </row>
    <row r="44" spans="1:10" x14ac:dyDescent="0.25">
      <c r="B44" s="6" t="s">
        <v>37</v>
      </c>
      <c r="C44" s="6" t="s">
        <v>18</v>
      </c>
      <c r="D44" s="6" t="s">
        <v>13</v>
      </c>
    </row>
    <row r="45" spans="1:10" x14ac:dyDescent="0.25">
      <c r="B45" s="6" t="s">
        <v>38</v>
      </c>
      <c r="C45" s="6" t="s">
        <v>40</v>
      </c>
      <c r="D45" s="6" t="s">
        <v>42</v>
      </c>
    </row>
    <row r="46" spans="1:10" x14ac:dyDescent="0.25">
      <c r="B46" s="6" t="s">
        <v>39</v>
      </c>
      <c r="C46" s="6" t="s">
        <v>41</v>
      </c>
      <c r="D46" s="6" t="s">
        <v>2</v>
      </c>
    </row>
    <row r="47" spans="1:10" x14ac:dyDescent="0.25">
      <c r="B47" s="1"/>
      <c r="C47" s="1"/>
      <c r="D47" s="1"/>
    </row>
    <row r="48" spans="1:10" x14ac:dyDescent="0.25">
      <c r="A48" s="14" t="s">
        <v>8</v>
      </c>
      <c r="B48" s="17" t="s">
        <v>22</v>
      </c>
      <c r="C48" s="7" t="str">
        <f>VLOOKUP("E103",B43:D46,3,FALSE)</f>
        <v>Finance</v>
      </c>
    </row>
    <row r="49" spans="1:10" x14ac:dyDescent="0.25">
      <c r="B49" s="25" t="s">
        <v>73</v>
      </c>
      <c r="C49" s="25"/>
      <c r="D49" s="25"/>
      <c r="E49" s="25"/>
      <c r="F49" s="13"/>
    </row>
    <row r="51" spans="1:10" ht="30" customHeight="1" x14ac:dyDescent="0.25">
      <c r="B51" s="24" t="s">
        <v>69</v>
      </c>
      <c r="C51" s="24"/>
      <c r="D51" s="24"/>
      <c r="E51" s="24"/>
      <c r="F51" s="24"/>
      <c r="G51" s="24"/>
      <c r="H51" s="24"/>
      <c r="I51" s="24"/>
      <c r="J51" s="20"/>
    </row>
    <row r="53" spans="1:10" x14ac:dyDescent="0.25">
      <c r="A53" s="18"/>
      <c r="B53" s="18"/>
      <c r="C53" s="18"/>
      <c r="D53" s="18"/>
      <c r="E53" s="18"/>
      <c r="F53" s="18"/>
      <c r="G53" s="18"/>
      <c r="H53" s="18"/>
      <c r="I53" s="18"/>
    </row>
    <row r="54" spans="1:10" x14ac:dyDescent="0.25">
      <c r="A54" s="14" t="s">
        <v>4</v>
      </c>
      <c r="B54" s="14" t="s">
        <v>43</v>
      </c>
    </row>
    <row r="56" spans="1:10" x14ac:dyDescent="0.25">
      <c r="B56" s="2" t="s">
        <v>44</v>
      </c>
      <c r="C56" s="2" t="s">
        <v>45</v>
      </c>
    </row>
    <row r="57" spans="1:10" x14ac:dyDescent="0.25">
      <c r="B57" s="6">
        <v>0</v>
      </c>
      <c r="C57" s="15">
        <v>0.05</v>
      </c>
    </row>
    <row r="58" spans="1:10" x14ac:dyDescent="0.25">
      <c r="B58" s="6">
        <v>20000</v>
      </c>
      <c r="C58" s="15">
        <v>0.1</v>
      </c>
    </row>
    <row r="59" spans="1:10" x14ac:dyDescent="0.25">
      <c r="B59" s="6">
        <v>50000</v>
      </c>
      <c r="C59" s="15">
        <v>0.15</v>
      </c>
    </row>
    <row r="60" spans="1:10" x14ac:dyDescent="0.25">
      <c r="B60" s="6">
        <v>80000</v>
      </c>
      <c r="C60" s="15">
        <v>0.2</v>
      </c>
    </row>
    <row r="62" spans="1:10" x14ac:dyDescent="0.25">
      <c r="B62" s="28" t="s">
        <v>70</v>
      </c>
      <c r="C62" s="29"/>
      <c r="D62" s="29"/>
      <c r="E62" s="29"/>
      <c r="F62" s="29"/>
      <c r="G62" s="29"/>
      <c r="H62" s="29"/>
      <c r="I62" s="29"/>
    </row>
    <row r="63" spans="1:10" x14ac:dyDescent="0.25">
      <c r="B63" s="29"/>
      <c r="C63" s="29"/>
      <c r="D63" s="29"/>
      <c r="E63" s="29"/>
      <c r="F63" s="29"/>
      <c r="G63" s="29"/>
      <c r="H63" s="29"/>
      <c r="I63" s="29"/>
    </row>
    <row r="65" spans="1:9" x14ac:dyDescent="0.25">
      <c r="A65" s="14" t="s">
        <v>8</v>
      </c>
    </row>
    <row r="66" spans="1:9" x14ac:dyDescent="0.25">
      <c r="B66" s="21" t="s">
        <v>46</v>
      </c>
      <c r="C66" s="21"/>
      <c r="D66" s="21"/>
      <c r="E66" s="21"/>
      <c r="F66" s="21"/>
      <c r="G66" s="21"/>
      <c r="H66" s="19">
        <f>VLOOKUP(45000,B57:C60,2,TRUE)</f>
        <v>0.1</v>
      </c>
    </row>
    <row r="67" spans="1:9" x14ac:dyDescent="0.25">
      <c r="B67" s="26" t="s">
        <v>77</v>
      </c>
      <c r="C67" s="26"/>
      <c r="D67" s="26"/>
      <c r="E67" s="26"/>
      <c r="F67" s="26"/>
      <c r="G67" s="26"/>
    </row>
    <row r="68" spans="1:9" x14ac:dyDescent="0.25">
      <c r="B68" s="13"/>
      <c r="C68" s="13"/>
      <c r="D68" s="13"/>
      <c r="E68" s="13"/>
      <c r="F68" s="13"/>
      <c r="G68" s="13"/>
    </row>
    <row r="69" spans="1:9" x14ac:dyDescent="0.25">
      <c r="A69" s="18"/>
      <c r="B69" s="18"/>
      <c r="C69" s="18"/>
      <c r="D69" s="18"/>
      <c r="E69" s="18"/>
      <c r="F69" s="18"/>
      <c r="G69" s="18"/>
      <c r="H69" s="18"/>
      <c r="I69" s="18"/>
    </row>
    <row r="70" spans="1:9" x14ac:dyDescent="0.25">
      <c r="A70" s="14" t="s">
        <v>5</v>
      </c>
      <c r="B70" s="14" t="s">
        <v>79</v>
      </c>
    </row>
    <row r="71" spans="1:9" x14ac:dyDescent="0.25">
      <c r="B71" s="14" t="s">
        <v>47</v>
      </c>
    </row>
    <row r="72" spans="1:9" x14ac:dyDescent="0.25">
      <c r="B72" s="14" t="s">
        <v>54</v>
      </c>
    </row>
    <row r="73" spans="1:9" x14ac:dyDescent="0.25">
      <c r="B73" s="14" t="s">
        <v>55</v>
      </c>
    </row>
    <row r="75" spans="1:9" x14ac:dyDescent="0.25">
      <c r="A75" s="14" t="s">
        <v>8</v>
      </c>
      <c r="B75" s="2" t="s">
        <v>48</v>
      </c>
      <c r="C75" s="2" t="s">
        <v>49</v>
      </c>
      <c r="D75" s="2" t="s">
        <v>50</v>
      </c>
      <c r="E75" s="2" t="s">
        <v>56</v>
      </c>
    </row>
    <row r="76" spans="1:9" x14ac:dyDescent="0.25">
      <c r="B76" s="6" t="s">
        <v>51</v>
      </c>
      <c r="C76" s="6">
        <v>10</v>
      </c>
      <c r="D76" s="6">
        <v>12</v>
      </c>
      <c r="E76" s="6" t="str">
        <f>IF($C76&gt;$D76,"Exceeded","OK")</f>
        <v>OK</v>
      </c>
    </row>
    <row r="77" spans="1:9" x14ac:dyDescent="0.25">
      <c r="B77" s="6" t="s">
        <v>52</v>
      </c>
      <c r="C77" s="6">
        <v>10</v>
      </c>
      <c r="D77" s="6">
        <v>15</v>
      </c>
      <c r="E77" s="11" t="str">
        <f>IF($C77&gt;$D77,"Exceeded","OK")</f>
        <v>OK</v>
      </c>
    </row>
    <row r="78" spans="1:9" x14ac:dyDescent="0.25">
      <c r="B78" s="6" t="s">
        <v>53</v>
      </c>
      <c r="C78" s="6">
        <v>8</v>
      </c>
      <c r="D78" s="6">
        <v>12</v>
      </c>
      <c r="E78" s="11" t="str">
        <f>IF($C78&gt;$D78,"Exceeded","OK")</f>
        <v>OK</v>
      </c>
    </row>
    <row r="80" spans="1:9" x14ac:dyDescent="0.25">
      <c r="B80" s="26" t="s">
        <v>72</v>
      </c>
      <c r="C80" s="26"/>
      <c r="D80" s="26"/>
      <c r="E80" s="26"/>
      <c r="F80" s="26"/>
      <c r="G80" s="26"/>
    </row>
    <row r="81" spans="1:10" x14ac:dyDescent="0.25">
      <c r="J81" s="1"/>
    </row>
    <row r="82" spans="1:10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"/>
    </row>
    <row r="83" spans="1:10" x14ac:dyDescent="0.25">
      <c r="A83" s="14" t="s">
        <v>6</v>
      </c>
      <c r="B83" s="23" t="s">
        <v>57</v>
      </c>
      <c r="C83" s="23"/>
      <c r="D83" s="23"/>
      <c r="E83" s="23"/>
      <c r="F83" s="23"/>
      <c r="G83" s="23"/>
    </row>
    <row r="85" spans="1:10" x14ac:dyDescent="0.25">
      <c r="B85" s="2" t="s">
        <v>34</v>
      </c>
      <c r="C85" s="2" t="s">
        <v>11</v>
      </c>
    </row>
    <row r="86" spans="1:10" x14ac:dyDescent="0.25">
      <c r="B86" s="6" t="s">
        <v>39</v>
      </c>
      <c r="C86" s="6">
        <v>55000</v>
      </c>
    </row>
    <row r="87" spans="1:10" x14ac:dyDescent="0.25">
      <c r="B87" s="6" t="s">
        <v>58</v>
      </c>
      <c r="C87" s="6">
        <v>72000</v>
      </c>
    </row>
    <row r="88" spans="1:10" x14ac:dyDescent="0.25">
      <c r="B88" s="6" t="s">
        <v>59</v>
      </c>
      <c r="C88" s="6">
        <v>62000</v>
      </c>
    </row>
    <row r="89" spans="1:10" x14ac:dyDescent="0.25">
      <c r="B89" s="6" t="s">
        <v>37</v>
      </c>
      <c r="C89" s="6">
        <v>41000</v>
      </c>
    </row>
    <row r="90" spans="1:10" x14ac:dyDescent="0.25">
      <c r="A90" s="3" t="s">
        <v>8</v>
      </c>
      <c r="B90" s="1"/>
      <c r="C90" s="1"/>
    </row>
    <row r="91" spans="1:10" x14ac:dyDescent="0.25">
      <c r="B91" s="21" t="s">
        <v>63</v>
      </c>
      <c r="C91" s="21"/>
      <c r="D91" s="12">
        <f>INDEX(C86:C89,MATCH(B87,B86:B89,0))</f>
        <v>72000</v>
      </c>
    </row>
    <row r="92" spans="1:10" x14ac:dyDescent="0.25">
      <c r="B92" s="26" t="s">
        <v>71</v>
      </c>
      <c r="C92" s="26"/>
      <c r="D92" s="26"/>
      <c r="E92" s="26"/>
      <c r="F92" s="26"/>
      <c r="G92" s="26"/>
    </row>
    <row r="94" spans="1:10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</row>
    <row r="95" spans="1:10" x14ac:dyDescent="0.25">
      <c r="A95" s="14" t="s">
        <v>7</v>
      </c>
      <c r="B95" s="23" t="s">
        <v>60</v>
      </c>
      <c r="C95" s="23"/>
      <c r="D95" s="23"/>
      <c r="E95" s="23"/>
      <c r="F95" s="23"/>
      <c r="G95" s="23"/>
      <c r="H95" s="23"/>
      <c r="I95" s="23"/>
    </row>
    <row r="97" spans="2:7" x14ac:dyDescent="0.25">
      <c r="B97" s="2" t="s">
        <v>34</v>
      </c>
      <c r="C97" s="2" t="s">
        <v>11</v>
      </c>
    </row>
    <row r="98" spans="2:7" x14ac:dyDescent="0.25">
      <c r="B98" s="6" t="s">
        <v>36</v>
      </c>
      <c r="C98" s="6" t="s">
        <v>13</v>
      </c>
    </row>
    <row r="99" spans="2:7" x14ac:dyDescent="0.25">
      <c r="B99" s="6" t="s">
        <v>61</v>
      </c>
      <c r="C99" s="6" t="s">
        <v>12</v>
      </c>
    </row>
    <row r="100" spans="2:7" x14ac:dyDescent="0.25">
      <c r="B100" s="6" t="s">
        <v>59</v>
      </c>
      <c r="C100" s="6" t="s">
        <v>2</v>
      </c>
    </row>
    <row r="101" spans="2:7" x14ac:dyDescent="0.25">
      <c r="B101" s="6" t="s">
        <v>62</v>
      </c>
      <c r="C101" s="6" t="s">
        <v>42</v>
      </c>
    </row>
    <row r="103" spans="2:7" x14ac:dyDescent="0.25">
      <c r="B103" s="21" t="s">
        <v>64</v>
      </c>
      <c r="C103" s="21"/>
      <c r="D103" s="21"/>
      <c r="E103" s="12" t="s">
        <v>12</v>
      </c>
    </row>
    <row r="104" spans="2:7" x14ac:dyDescent="0.25">
      <c r="B104" s="10" t="s">
        <v>78</v>
      </c>
      <c r="C104" s="10"/>
      <c r="D104" s="10"/>
      <c r="E104" s="10"/>
      <c r="F104" s="13"/>
      <c r="G104" s="13"/>
    </row>
  </sheetData>
  <mergeCells count="22">
    <mergeCell ref="B62:I63"/>
    <mergeCell ref="B23:I23"/>
    <mergeCell ref="E18:G18"/>
    <mergeCell ref="E19:G19"/>
    <mergeCell ref="E20:G20"/>
    <mergeCell ref="E21:G21"/>
    <mergeCell ref="B103:D103"/>
    <mergeCell ref="B1:L2"/>
    <mergeCell ref="B14:I15"/>
    <mergeCell ref="B26:J27"/>
    <mergeCell ref="B39:J40"/>
    <mergeCell ref="B51:I51"/>
    <mergeCell ref="B49:E49"/>
    <mergeCell ref="B66:G66"/>
    <mergeCell ref="B67:G67"/>
    <mergeCell ref="B95:I95"/>
    <mergeCell ref="B83:G83"/>
    <mergeCell ref="B80:G80"/>
    <mergeCell ref="B91:C91"/>
    <mergeCell ref="B92:G92"/>
    <mergeCell ref="B11:D11"/>
    <mergeCell ref="E17:G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2025-12-17T15:57:50Z</cp:lastPrinted>
  <dcterms:created xsi:type="dcterms:W3CDTF">2025-12-09T08:03:32Z</dcterms:created>
  <dcterms:modified xsi:type="dcterms:W3CDTF">2025-12-21T13:04:15Z</dcterms:modified>
</cp:coreProperties>
</file>